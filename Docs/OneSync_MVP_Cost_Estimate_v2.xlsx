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Model Costs" sheetId="2" state="visible" r:id="rId4"/>
    <sheet name="Health Data Stack" sheetId="3" state="visible" r:id="rId5"/>
    <sheet name="Team &amp; Dev" sheetId="4" state="visible" r:id="rId6"/>
    <sheet name="6-Month Runwa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<sst xmlns="http://schemas.openxmlformats.org/spreadsheetml/2006/main" count="251" uniqueCount="204">
  <si>
    <t xml:space="preserve">OneSync — Updated MVP Cost &amp; Runway Estimate</t>
  </si>
  <si>
    <t xml:space="preserve">Prepared for IIT Roorkee Funding Discussion — March 2026 (v2: Lean Stack)</t>
  </si>
  <si>
    <t xml:space="preserve">KEY PARAMETERS</t>
  </si>
  <si>
    <t xml:space="preserve">Exchange Rate</t>
  </si>
  <si>
    <t xml:space="preserve">₹/USD</t>
  </si>
  <si>
    <t xml:space="preserve">Team Model</t>
  </si>
  <si>
    <t xml:space="preserve">Solo Founder + AI Companion</t>
  </si>
  <si>
    <t xml:space="preserve">Health Data Stack</t>
  </si>
  <si>
    <t xml:space="preserve">Health Connect + ROOK (free) + Direct SDKs</t>
  </si>
  <si>
    <t xml:space="preserve">AI Model Strategy</t>
  </si>
  <si>
    <t xml:space="preserve">Mixed routing (see Model Costs tab)</t>
  </si>
  <si>
    <t xml:space="preserve">MVP Duration</t>
  </si>
  <si>
    <t xml:space="preserve">months</t>
  </si>
  <si>
    <t xml:space="preserve">COST SUMMARY</t>
  </si>
  <si>
    <t xml:space="preserve">Category</t>
  </si>
  <si>
    <t xml:space="preserve">Cost (₹)</t>
  </si>
  <si>
    <t xml:space="preserve">Cost (USD)</t>
  </si>
  <si>
    <t xml:space="preserve">Notes</t>
  </si>
  <si>
    <t xml:space="preserve">Team &amp; Dev (3 months)</t>
  </si>
  <si>
    <t xml:space="preserve">Solo founder + Claude Code + UI freelancer</t>
  </si>
  <si>
    <t xml:space="preserve">One-Time Setup</t>
  </si>
  <si>
    <t xml:space="preserve">Play Store, API credits, misc</t>
  </si>
  <si>
    <t xml:space="preserve">API Testing (3mo, ~10 users)</t>
  </si>
  <si>
    <t xml:space="preserve">Using cheapest model estimate</t>
  </si>
  <si>
    <t xml:space="preserve">Health Data APIs</t>
  </si>
  <si>
    <t xml:space="preserve">All FREE (Health Connect + ROOK free tier + direct SDKs)</t>
  </si>
  <si>
    <t xml:space="preserve">Infrastructure</t>
  </si>
  <si>
    <t xml:space="preserve">Free tiers: Supabase, Cloudflare, Expo, Vercel</t>
  </si>
  <si>
    <t xml:space="preserve">TOTAL MVP COST</t>
  </si>
  <si>
    <t xml:space="preserve">6-MONTH RUNWAY COST</t>
  </si>
  <si>
    <t xml:space="preserve">Total 6-Month Burn</t>
  </si>
  <si>
    <t xml:space="preserve">Blue cells = editable assumptions. All health data APIs are FREE.</t>
  </si>
  <si>
    <t xml:space="preserve">Single-Model API Cost Comparison</t>
  </si>
  <si>
    <t xml:space="preserve">Calls/user/day</t>
  </si>
  <si>
    <t xml:space="preserve">Input tokens/call</t>
  </si>
  <si>
    <t xml:space="preserve">Output tokens/call</t>
  </si>
  <si>
    <t xml:space="preserve">Days/month</t>
  </si>
  <si>
    <t xml:space="preserve">Cache hit rate</t>
  </si>
  <si>
    <t xml:space="preserve">Calls/user/mo</t>
  </si>
  <si>
    <t xml:space="preserve">Model</t>
  </si>
  <si>
    <t xml:space="preserve">Provider</t>
  </si>
  <si>
    <t xml:space="preserve">Input $/MTok</t>
  </si>
  <si>
    <t xml:space="preserve">Output $/MTok</t>
  </si>
  <si>
    <t xml:space="preserve">Cache $/MTok</t>
  </si>
  <si>
    <t xml:space="preserve">Cost/User/Mo</t>
  </si>
  <si>
    <t xml:space="preserve">₹/User/Mo</t>
  </si>
  <si>
    <t xml:space="preserve">100 Users/Mo</t>
  </si>
  <si>
    <t xml:space="preserve">₹ 100 Users/Mo</t>
  </si>
  <si>
    <t xml:space="preserve">Claude Opus 4.6</t>
  </si>
  <si>
    <t xml:space="preserve">Anthropic</t>
  </si>
  <si>
    <t xml:space="preserve">Claude Sonnet 4.6</t>
  </si>
  <si>
    <t xml:space="preserve">Claude Haiku 4.5</t>
  </si>
  <si>
    <t xml:space="preserve">GPT-5.4</t>
  </si>
  <si>
    <t xml:space="preserve">OpenAI</t>
  </si>
  <si>
    <t xml:space="preserve">GPT-5.2</t>
  </si>
  <si>
    <t xml:space="preserve">GPT-4o mini</t>
  </si>
  <si>
    <t xml:space="preserve">Kimi K2.5</t>
  </si>
  <si>
    <t xml:space="preserve">Moonshot</t>
  </si>
  <si>
    <t xml:space="preserve">DeepSeek V3.2</t>
  </si>
  <si>
    <t xml:space="preserve">DeepSeek</t>
  </si>
  <si>
    <t xml:space="preserve">Qwen 2.5-72B</t>
  </si>
  <si>
    <t xml:space="preserve">Alibaba</t>
  </si>
  <si>
    <t xml:space="preserve">GLM-5</t>
  </si>
  <si>
    <t xml:space="preserve">Zhipu AI</t>
  </si>
  <si>
    <t xml:space="preserve">MiniMax M2.5</t>
  </si>
  <si>
    <t xml:space="preserve">MiniMax</t>
  </si>
  <si>
    <t xml:space="preserve">YOUR SELECTED MODELS</t>
  </si>
  <si>
    <t xml:space="preserve">Health Data Connector Strategy &amp; Costs</t>
  </si>
  <si>
    <t xml:space="preserve">LAYER 1: HEALTH CONNECT (Foundation)</t>
  </si>
  <si>
    <t xml:space="preserve">Item</t>
  </si>
  <si>
    <t xml:space="preserve">Monthly Cost</t>
  </si>
  <si>
    <t xml:space="preserve">Annual Cost</t>
  </si>
  <si>
    <t xml:space="preserve">Coverage</t>
  </si>
  <si>
    <t xml:space="preserve">Health Connect SDK</t>
  </si>
  <si>
    <t xml:space="preserve">Free</t>
  </si>
  <si>
    <t xml:space="preserve">All Android devices</t>
  </si>
  <si>
    <t xml:space="preserve">On-device, zero latency</t>
  </si>
  <si>
    <t xml:space="preserve">Google Fit Bridge</t>
  </si>
  <si>
    <t xml:space="preserve">Legacy device fallback</t>
  </si>
  <si>
    <t xml:space="preserve">For older companion apps</t>
  </si>
  <si>
    <t xml:space="preserve">LAYER 2: ROOK SDK (Enrichment)</t>
  </si>
  <si>
    <t xml:space="preserve">ROOK Free Plan</t>
  </si>
  <si>
    <t xml:space="preserve">100+ devices, ≤750 users</t>
  </si>
  <si>
    <t xml:space="preserve">Fills HC gaps for WHOOP, Oura, etc.</t>
  </si>
  <si>
    <t xml:space="preserve">ROOK Core Plan</t>
  </si>
  <si>
    <t xml:space="preserve">$249</t>
  </si>
  <si>
    <t xml:space="preserve">$2,988</t>
  </si>
  <si>
    <t xml:space="preserve">Only if &gt;750 users</t>
  </si>
  <si>
    <t xml:space="preserve">LAYER 3: DIRECT DEVICE SDKs (Build Over Time)</t>
  </si>
  <si>
    <t xml:space="preserve">Device SDK</t>
  </si>
  <si>
    <t xml:space="preserve">Cost</t>
  </si>
  <si>
    <t xml:space="preserve">Data Access</t>
  </si>
  <si>
    <t xml:space="preserve">Build Month</t>
  </si>
  <si>
    <t xml:space="preserve">Samsung Health Data SDK</t>
  </si>
  <si>
    <t xml:space="preserve">Full (HRV, SpO2, skin temp)</t>
  </si>
  <si>
    <t xml:space="preserve">Month 2</t>
  </si>
  <si>
    <t xml:space="preserve">Partnership application required</t>
  </si>
  <si>
    <t xml:space="preserve">Fitbit Web API</t>
  </si>
  <si>
    <t xml:space="preserve">Full (intraday needs approval)</t>
  </si>
  <si>
    <t xml:space="preserve">Month 3</t>
  </si>
  <si>
    <t xml:space="preserve">OAuth2, rate limits</t>
  </si>
  <si>
    <t xml:space="preserve">Garmin Health API</t>
  </si>
  <si>
    <t xml:space="preserve">Full (HRV, Body Battery, all)</t>
  </si>
  <si>
    <t xml:space="preserve">Business dev application</t>
  </si>
  <si>
    <t xml:space="preserve">WHOOP Developer API</t>
  </si>
  <si>
    <t xml:space="preserve">Full (strain, recovery, sleep)</t>
  </si>
  <si>
    <t xml:space="preserve">Month 4</t>
  </si>
  <si>
    <t xml:space="preserve">App review by WHOOP</t>
  </si>
  <si>
    <t xml:space="preserve">Oura API v2</t>
  </si>
  <si>
    <t xml:space="preserve">Full (readiness, HRV, temp)</t>
  </si>
  <si>
    <t xml:space="preserve">Standard OAuth2</t>
  </si>
  <si>
    <t xml:space="preserve">Apple HealthKit</t>
  </si>
  <si>
    <t xml:space="preserve">$99/year</t>
  </si>
  <si>
    <t xml:space="preserve">Full (all Apple Watch data)</t>
  </si>
  <si>
    <t xml:space="preserve">Month 5</t>
  </si>
  <si>
    <t xml:space="preserve">iOS Phase 2 only</t>
  </si>
  <si>
    <t xml:space="preserve">Polar Accesslink API</t>
  </si>
  <si>
    <t xml:space="preserve">Good (training, sleep, HR)</t>
  </si>
  <si>
    <t xml:space="preserve">Month 6+</t>
  </si>
  <si>
    <t xml:space="preserve">As needed</t>
  </si>
  <si>
    <t xml:space="preserve">ALTERNATIVES COMPARISON (Why NOT Terra)</t>
  </si>
  <si>
    <t xml:space="preserve">Service</t>
  </si>
  <si>
    <t xml:space="preserve">Free Tier?</t>
  </si>
  <si>
    <t xml:space="preserve">Devices</t>
  </si>
  <si>
    <t xml:space="preserve">Verdict</t>
  </si>
  <si>
    <t xml:space="preserve">Health Connect + ROOK + SDKs</t>
  </si>
  <si>
    <t xml:space="preserve">$0</t>
  </si>
  <si>
    <t xml:space="preserve">Yes (all free)</t>
  </si>
  <si>
    <t xml:space="preserve">10 premium + 100+ via ROOK</t>
  </si>
  <si>
    <t xml:space="preserve">✅ RECOMMENDED</t>
  </si>
  <si>
    <t xml:space="preserve">ROOK only</t>
  </si>
  <si>
    <t xml:space="preserve">$0-249/mo</t>
  </si>
  <si>
    <t xml:space="preserve">Yes (750 users)</t>
  </si>
  <si>
    <t xml:space="preserve">100+ devices</t>
  </si>
  <si>
    <t xml:space="preserve">✅ Good fallback</t>
  </si>
  <si>
    <t xml:space="preserve">Sahha.ai</t>
  </si>
  <si>
    <t xml:space="preserve">Custom</t>
  </si>
  <si>
    <t xml:space="preserve">Sandbox only</t>
  </si>
  <si>
    <t xml:space="preserve">⚠️ AI scores built-in, limited free</t>
  </si>
  <si>
    <t xml:space="preserve">Terra API</t>
  </si>
  <si>
    <t xml:space="preserve">$399-499/mo</t>
  </si>
  <si>
    <t xml:space="preserve">No</t>
  </si>
  <si>
    <t xml:space="preserve">200+ devices</t>
  </si>
  <si>
    <t xml:space="preserve">❌ Too expensive for MVP</t>
  </si>
  <si>
    <t xml:space="preserve">Vital (Junction)</t>
  </si>
  <si>
    <t xml:space="preserve">Custom (sales)</t>
  </si>
  <si>
    <t xml:space="preserve">300+ devices</t>
  </si>
  <si>
    <t xml:space="preserve">❌ Enterprise-focused</t>
  </si>
  <si>
    <t xml:space="preserve">Thryve</t>
  </si>
  <si>
    <t xml:space="preserve">500+ devices</t>
  </si>
  <si>
    <t xml:space="preserve">❌ Enterprise/insurance focus</t>
  </si>
  <si>
    <t xml:space="preserve">TOTAL HEALTH DATA COST (MVP): $0/month</t>
  </si>
  <si>
    <t xml:space="preserve">Team &amp; Development Costs (Solo Founder Mode)</t>
  </si>
  <si>
    <t xml:space="preserve">MVP TEAM (Month 1-3)</t>
  </si>
  <si>
    <t xml:space="preserve">Role</t>
  </si>
  <si>
    <t xml:space="preserve">Monthly Cost (₹)</t>
  </si>
  <si>
    <t xml:space="preserve">Months</t>
  </si>
  <si>
    <t xml:space="preserve">Total (₹)</t>
  </si>
  <si>
    <t xml:space="preserve">Solo Founder (You)</t>
  </si>
  <si>
    <t xml:space="preserve">Full-stack + AI. No salary during MVP</t>
  </si>
  <si>
    <t xml:space="preserve">Co-Founder / Intern</t>
  </si>
  <si>
    <t xml:space="preserve">If available from IIT network, equity-only</t>
  </si>
  <si>
    <t xml:space="preserve">Claude Code (AI Dev)</t>
  </si>
  <si>
    <t xml:space="preserve">Claude Max $20/mo × ₹92 = ₹1,840</t>
  </si>
  <si>
    <t xml:space="preserve">Cursor Pro (AI IDE)</t>
  </si>
  <si>
    <t xml:space="preserve">Optional: $20/mo AI-assisted coding</t>
  </si>
  <si>
    <t xml:space="preserve">UI/UX Freelancer</t>
  </si>
  <si>
    <t xml:space="preserve">One-time Figma designs for app + landing</t>
  </si>
  <si>
    <t xml:space="preserve">QA / Beta Testers</t>
  </si>
  <si>
    <t xml:space="preserve">Free: IIT network, friends, early adopters</t>
  </si>
  <si>
    <t xml:space="preserve">TEAM TOTAL</t>
  </si>
  <si>
    <t xml:space="preserve">ONE-TIME SETUP COSTS</t>
  </si>
  <si>
    <t xml:space="preserve">Google Play Developer</t>
  </si>
  <si>
    <t xml:space="preserve">One-time $25 fee</t>
  </si>
  <si>
    <t xml:space="preserve">API Credits (initial testing)</t>
  </si>
  <si>
    <t xml:space="preserve">DeepSeek/Kimi initial calls</t>
  </si>
  <si>
    <t xml:space="preserve">Domain + Hosting (annual)</t>
  </si>
  <si>
    <t xml:space="preserve">~$15/year via Cloudflare</t>
  </si>
  <si>
    <t xml:space="preserve">Miscellaneous</t>
  </si>
  <si>
    <t xml:space="preserve">Tools, minor expenses</t>
  </si>
  <si>
    <t xml:space="preserve">SETUP TOTAL</t>
  </si>
  <si>
    <t xml:space="preserve">6-Month Cash Flow Projection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</si>
  <si>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</si>
  <si>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</si>
  <si>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</si>
  <si>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</si>
  <si>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</si>
  <si>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</si>
  <si>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Cumulative</t>
  </si>
  <si>
    <t xml:space="preserve">Team costs (₹)</t>
  </si>
  <si>
    <t xml:space="preserve">One-time setup (₹)</t>
  </si>
  <si>
    <t xml:space="preserve">API costs (₹)</t>
  </si>
  <si>
    <t xml:space="preserve">Health APIs (₹)</t>
  </si>
  <si>
    <t xml:space="preserve">Infrastructure (₹)</t>
  </si>
  <si>
    <t xml:space="preserve">MONTHLY TOTAL (₹)</t>
  </si>
  <si>
    <t xml:space="preserve">CUMULATIVE TOTAL (₹)</t>
  </si>
  <si>
    <t xml:space="preserve">Users</t>
  </si>
  <si>
    <t xml:space="preserve">Phase</t>
  </si>
  <si>
    <t xml:space="preserve">Build</t>
  </si>
  <si>
    <t xml:space="preserve">Beta</t>
  </si>
  <si>
    <t xml:space="preserve">Launch</t>
  </si>
  <si>
    <t xml:space="preserve">Growth</t>
  </si>
  <si>
    <t xml:space="preserve">Note: API costs use Kimi K2.5 ($4.65/user/mo) as baseline.</t>
  </si>
  <si>
    <t xml:space="preserve">Actual costs will be lower with mixed model routing.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</si>
</sst>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₹#,##0"/>
    <numFmt numFmtId="166" formatCode="\$#,##0.00"/>
    <numFmt numFmtId="167" formatCode="0.0%"/>
    <numFmt numFmtId="168" formatCode="#,##0"/>
    <numFmt numFmtId="169" formatCode="\$#,##0.000"/>
    <numFmt numFmtId="170" formatCode="\$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3C5E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3"/>
      <color rgb="FF1A3C5E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b val="true"/>
      <sz val="13"/>
      <color rgb="FF008000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E8F0FE"/>
      </patternFill>
    </fill>
    <fill>
      <patternFill patternType="solid">
        <fgColor rgb="FFFFFFFF"/>
        <bgColor rgb="FFF2F2F2"/>
      </patternFill>
    </fill>
    <fill>
      <patternFill patternType="solid">
        <fgColor rgb="FF1A3C5E"/>
        <bgColor rgb="FF333333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E8F0FE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8F0FE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3C5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4" min="3" style="1" width="20"/>
    <col collapsed="false" customWidth="true" hidden="false" outlineLevel="0" max="5" min="5" style="1" width="30"/>
  </cols>
  <sheetData>
    <row r="1" customFormat="false" ht="15" hidden="false" customHeight="false" outlineLevel="0" collapsed="false"/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false" outlineLevel="0" collapsed="false"/>
    <row r="5" customFormat="false" ht="15.75" hidden="false" customHeight="true" outlineLevel="0" collapsed="false">
      <c r="B5" s="4" t="s">
        <v>2</v>
      </c>
    </row>
    <row r="6" customFormat="false" ht="15" hidden="false" customHeight="true" outlineLevel="0" collapsed="false">
      <c r="A6" s="5"/>
      <c r="B6" s="6" t="s">
        <v>3</v>
      </c>
      <c r="C6" s="7" t="n">
        <v>92</v>
      </c>
      <c r="D6" s="8" t="s">
        <v>4</v>
      </c>
      <c r="E6" s="9"/>
    </row>
    <row r="7" customFormat="false" ht="15" hidden="false" customHeight="true" outlineLevel="0" collapsed="false">
      <c r="A7" s="10"/>
      <c r="B7" s="11" t="s">
        <v>5</v>
      </c>
      <c r="C7" s="12" t="s">
        <v>6</v>
      </c>
      <c r="D7" s="12"/>
      <c r="E7" s="13"/>
    </row>
    <row r="8" customFormat="false" ht="15" hidden="false" customHeight="true" outlineLevel="0" collapsed="false">
      <c r="A8" s="5"/>
      <c r="B8" s="6" t="s">
        <v>7</v>
      </c>
      <c r="C8" s="8" t="s">
        <v>8</v>
      </c>
      <c r="D8" s="8"/>
      <c r="E8" s="9"/>
    </row>
    <row r="9" customFormat="false" ht="15" hidden="false" customHeight="true" outlineLevel="0" collapsed="false">
      <c r="A9" s="10"/>
      <c r="B9" s="11" t="s">
        <v>9</v>
      </c>
      <c r="C9" s="12" t="s">
        <v>10</v>
      </c>
      <c r="D9" s="12"/>
      <c r="E9" s="13"/>
    </row>
    <row r="10" customFormat="false" ht="15" hidden="false" customHeight="true" outlineLevel="0" collapsed="false">
      <c r="A10" s="5"/>
      <c r="B10" s="6" t="s">
        <v>11</v>
      </c>
      <c r="C10" s="7" t="n">
        <v>3</v>
      </c>
      <c r="D10" s="8" t="s">
        <v>12</v>
      </c>
      <c r="E10" s="9"/>
    </row>
    <row r="11" customFormat="false" ht="15" hidden="false" customHeight="false" outlineLevel="0" collapsed="false"/>
    <row r="12" customFormat="false" ht="15.75" hidden="false" customHeight="true" outlineLevel="0" collapsed="false">
      <c r="B12" s="4" t="s">
        <v>13</v>
      </c>
    </row>
    <row r="13" customFormat="false" ht="15" hidden="false" customHeight="true" outlineLevel="0" collapsed="false">
      <c r="A13" s="14"/>
      <c r="B13" s="14" t="s">
        <v>14</v>
      </c>
      <c r="C13" s="14" t="s">
        <v>15</v>
      </c>
      <c r="D13" s="14" t="s">
        <v>16</v>
      </c>
      <c r="E13" s="14" t="s">
        <v>17</v>
      </c>
    </row>
    <row r="14" customFormat="false" ht="15" hidden="false" customHeight="true" outlineLevel="0" collapsed="false">
      <c r="A14" s="15"/>
      <c r="B14" s="16" t="s">
        <v>18</v>
      </c>
      <c r="C14" s="17" t="n">
        <f aca="false">'Team &amp; Dev'!E12</f>
        <v>26040</v>
      </c>
      <c r="D14" s="18" t="n">
        <f aca="false">'Team &amp; Dev'!E12/'Executive Summary'!C6</f>
        <v>283.04347826087</v>
      </c>
      <c r="E14" s="19" t="s">
        <v>19</v>
      </c>
    </row>
    <row r="15" customFormat="false" ht="15" hidden="false" customHeight="true" outlineLevel="0" collapsed="false">
      <c r="A15" s="10"/>
      <c r="B15" s="20" t="s">
        <v>20</v>
      </c>
      <c r="C15" s="21" t="n">
        <f aca="false">'Team &amp; Dev'!E20</f>
        <v>6600</v>
      </c>
      <c r="D15" s="22" t="n">
        <f aca="false">'Team &amp; Dev'!E20/'Executive Summary'!C6</f>
        <v>71.7391304347826</v>
      </c>
      <c r="E15" s="12" t="s">
        <v>21</v>
      </c>
    </row>
    <row r="16" customFormat="false" ht="15" hidden="false" customHeight="true" outlineLevel="0" collapsed="false">
      <c r="A16" s="15"/>
      <c r="B16" s="16" t="s">
        <v>22</v>
      </c>
      <c r="C16" s="17" t="n">
        <f aca="false">'Model Costs'!G14*10*3*'Executive Summary'!C6</f>
        <v>12834</v>
      </c>
      <c r="D16" s="18" t="n">
        <f aca="false">'Model Costs'!G14*10*3</f>
        <v>139.5</v>
      </c>
      <c r="E16" s="19" t="s">
        <v>23</v>
      </c>
    </row>
    <row r="17" customFormat="false" ht="15" hidden="false" customHeight="true" outlineLevel="0" collapsed="false">
      <c r="A17" s="10"/>
      <c r="B17" s="20" t="s">
        <v>24</v>
      </c>
      <c r="C17" s="21" t="n">
        <v>0</v>
      </c>
      <c r="D17" s="22" t="n">
        <v>0</v>
      </c>
      <c r="E17" s="12" t="s">
        <v>25</v>
      </c>
    </row>
    <row r="18" customFormat="false" ht="15" hidden="false" customHeight="true" outlineLevel="0" collapsed="false">
      <c r="A18" s="15"/>
      <c r="B18" s="16" t="s">
        <v>26</v>
      </c>
      <c r="C18" s="17" t="n">
        <v>0</v>
      </c>
      <c r="D18" s="18" t="n">
        <v>0</v>
      </c>
      <c r="E18" s="19" t="s">
        <v>27</v>
      </c>
    </row>
    <row r="19" customFormat="false" ht="15" hidden="false" customHeight="true" outlineLevel="0" collapsed="false">
      <c r="A19" s="23"/>
      <c r="B19" s="24" t="s">
        <v>28</v>
      </c>
      <c r="C19" s="25" t="n">
        <f aca="false">SUM(C14:C18)</f>
        <v>45474</v>
      </c>
      <c r="D19" s="26" t="n">
        <f aca="false">SUM(D14:D18)</f>
        <v>494.282608695652</v>
      </c>
      <c r="E19" s="27"/>
    </row>
    <row r="20" customFormat="false" ht="15" hidden="false" customHeight="false" outlineLevel="0" collapsed="false"/>
    <row r="21" customFormat="false" ht="15.75" hidden="false" customHeight="true" outlineLevel="0" collapsed="false">
      <c r="B21" s="4" t="s">
        <v>29</v>
      </c>
    </row>
    <row r="22" customFormat="false" ht="15" hidden="false" customHeight="true" outlineLevel="0" collapsed="false">
      <c r="A22" s="23"/>
      <c r="B22" s="24" t="s">
        <v>30</v>
      </c>
      <c r="C22" s="28" t="n">
        <f aca="false">'6-Month Runway'!I13</f>
        <v>115325</v>
      </c>
      <c r="D22" s="29" t="n">
        <f aca="false">'6-Month Runway'!I13/'Executive Summary'!C6</f>
        <v>1253.53260869565</v>
      </c>
      <c r="E22" s="27"/>
    </row>
    <row r="23" customFormat="false" ht="15" hidden="false" customHeight="false" outlineLevel="0" collapsed="false"/>
    <row r="24" customFormat="false" ht="15" hidden="false" customHeight="true" outlineLevel="0" collapsed="false">
      <c r="B24" s="3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6" min="3" style="1" width="14"/>
    <col collapsed="false" customWidth="true" hidden="false" outlineLevel="0" max="8" min="7" style="1" width="16"/>
    <col collapsed="false" customWidth="true" hidden="false" outlineLevel="0" max="10" min="9" style="1" width="18"/>
  </cols>
  <sheetData>
    <row r="1" customFormat="false" ht="15" hidden="false" customHeight="false" outlineLevel="0" collapsed="false"/>
    <row r="2" customFormat="false" ht="19.5" hidden="false" customHeight="true" outlineLevel="0" collapsed="false">
      <c r="B2" s="2" t="s">
        <v>32</v>
      </c>
    </row>
    <row r="3" customFormat="false" ht="15" hidden="false" customHeight="false" outlineLevel="0" collapsed="false"/>
    <row r="4" customFormat="false" ht="15" hidden="false" customHeight="true" outlineLevel="0" collapsed="false">
      <c r="B4" s="31" t="s">
        <v>33</v>
      </c>
      <c r="C4" s="32" t="n">
        <v>50</v>
      </c>
      <c r="D4" s="31" t="s">
        <v>34</v>
      </c>
      <c r="E4" s="32" t="n">
        <v>2000</v>
      </c>
      <c r="F4" s="31" t="s">
        <v>35</v>
      </c>
      <c r="G4" s="32" t="n">
        <v>800</v>
      </c>
      <c r="H4" s="31"/>
      <c r="I4" s="31"/>
      <c r="J4" s="31"/>
    </row>
    <row r="5" customFormat="false" ht="15" hidden="false" customHeight="true" outlineLevel="0" collapsed="false">
      <c r="B5" s="31" t="s">
        <v>36</v>
      </c>
      <c r="C5" s="31" t="n">
        <v>30</v>
      </c>
      <c r="D5" s="31" t="s">
        <v>37</v>
      </c>
      <c r="E5" s="33" t="n">
        <v>0.5</v>
      </c>
      <c r="F5" s="31" t="s">
        <v>38</v>
      </c>
      <c r="G5" s="34" t="n">
        <f aca="false">C4*C5</f>
        <v>1500</v>
      </c>
      <c r="H5" s="31"/>
      <c r="I5" s="31"/>
      <c r="J5" s="31"/>
    </row>
    <row r="6" customFormat="false" ht="15" hidden="false" customHeight="false" outlineLevel="0" collapsed="false"/>
    <row r="7" customFormat="false" ht="26.25" hidden="false" customHeight="true" outlineLevel="0" collapsed="false">
      <c r="A7" s="14"/>
      <c r="B7" s="14" t="s">
        <v>39</v>
      </c>
      <c r="C7" s="14" t="s">
        <v>40</v>
      </c>
      <c r="D7" s="14" t="s">
        <v>41</v>
      </c>
      <c r="E7" s="14" t="s">
        <v>42</v>
      </c>
      <c r="F7" s="14" t="s">
        <v>43</v>
      </c>
      <c r="G7" s="14" t="s">
        <v>44</v>
      </c>
      <c r="H7" s="14" t="s">
        <v>45</v>
      </c>
      <c r="I7" s="14" t="s">
        <v>46</v>
      </c>
      <c r="J7" s="14" t="s">
        <v>47</v>
      </c>
    </row>
    <row r="8" customFormat="false" ht="15" hidden="false" customHeight="true" outlineLevel="0" collapsed="false">
      <c r="A8" s="15"/>
      <c r="B8" s="35" t="s">
        <v>48</v>
      </c>
      <c r="C8" s="36" t="s">
        <v>49</v>
      </c>
      <c r="D8" s="37" t="n">
        <v>5</v>
      </c>
      <c r="E8" s="37" t="n">
        <v>25</v>
      </c>
      <c r="F8" s="38" t="n">
        <v>0.5</v>
      </c>
      <c r="G8" s="18" t="n">
        <f aca="false">$G$5*(($E$5*F8+(1-$E$5)*D8)*$E$4+E8*$G$4)/1000000</f>
        <v>38.25</v>
      </c>
      <c r="H8" s="39" t="n">
        <f aca="false">G8*'Executive Summary'!$C$6</f>
        <v>3519</v>
      </c>
      <c r="I8" s="40" t="n">
        <f aca="false">G8*100</f>
        <v>3825</v>
      </c>
      <c r="J8" s="39" t="n">
        <f aca="false">I8*'Executive Summary'!$C$6</f>
        <v>351900</v>
      </c>
    </row>
    <row r="9" customFormat="false" ht="15" hidden="false" customHeight="true" outlineLevel="0" collapsed="false">
      <c r="A9" s="10"/>
      <c r="B9" s="35" t="s">
        <v>50</v>
      </c>
      <c r="C9" s="36" t="s">
        <v>49</v>
      </c>
      <c r="D9" s="41" t="n">
        <v>3</v>
      </c>
      <c r="E9" s="41" t="n">
        <v>15</v>
      </c>
      <c r="F9" s="42" t="n">
        <v>0.3</v>
      </c>
      <c r="G9" s="22" t="n">
        <f aca="false">$G$5*(($E$5*F9+(1-$E$5)*D9)*$E$4+E9*$G$4)/1000000</f>
        <v>22.95</v>
      </c>
      <c r="H9" s="43" t="n">
        <f aca="false">G9*'Executive Summary'!$C$6</f>
        <v>2111.4</v>
      </c>
      <c r="I9" s="44" t="n">
        <f aca="false">G9*100</f>
        <v>2295</v>
      </c>
      <c r="J9" s="43" t="n">
        <f aca="false">I9*'Executive Summary'!$C$6</f>
        <v>211140</v>
      </c>
    </row>
    <row r="10" customFormat="false" ht="15" hidden="false" customHeight="true" outlineLevel="0" collapsed="false">
      <c r="A10" s="15"/>
      <c r="B10" s="45" t="s">
        <v>51</v>
      </c>
      <c r="C10" s="19" t="s">
        <v>49</v>
      </c>
      <c r="D10" s="37" t="n">
        <v>1</v>
      </c>
      <c r="E10" s="37" t="n">
        <v>5</v>
      </c>
      <c r="F10" s="38" t="n">
        <v>0.1</v>
      </c>
      <c r="G10" s="18" t="n">
        <f aca="false">$G$5*(($E$5*F10+(1-$E$5)*D10)*$E$4+E10*$G$4)/1000000</f>
        <v>7.65</v>
      </c>
      <c r="H10" s="39" t="n">
        <f aca="false">G10*'Executive Summary'!$C$6</f>
        <v>703.8</v>
      </c>
      <c r="I10" s="40" t="n">
        <f aca="false">G10*100</f>
        <v>765</v>
      </c>
      <c r="J10" s="39" t="n">
        <f aca="false">I10*'Executive Summary'!$C$6</f>
        <v>70380</v>
      </c>
    </row>
    <row r="11" customFormat="false" ht="15" hidden="false" customHeight="true" outlineLevel="0" collapsed="false">
      <c r="A11" s="10"/>
      <c r="B11" s="35" t="s">
        <v>52</v>
      </c>
      <c r="C11" s="36" t="s">
        <v>53</v>
      </c>
      <c r="D11" s="41" t="n">
        <v>2.5</v>
      </c>
      <c r="E11" s="41" t="n">
        <v>15</v>
      </c>
      <c r="F11" s="42" t="n">
        <v>0.625</v>
      </c>
      <c r="G11" s="22" t="n">
        <f aca="false">$G$5*(($E$5*F11+(1-$E$5)*D11)*$E$4+E11*$G$4)/1000000</f>
        <v>22.6875</v>
      </c>
      <c r="H11" s="43" t="n">
        <f aca="false">G11*'Executive Summary'!$C$6</f>
        <v>2087.25</v>
      </c>
      <c r="I11" s="44" t="n">
        <f aca="false">G11*100</f>
        <v>2268.75</v>
      </c>
      <c r="J11" s="43" t="n">
        <f aca="false">I11*'Executive Summary'!$C$6</f>
        <v>208725</v>
      </c>
    </row>
    <row r="12" customFormat="false" ht="15" hidden="false" customHeight="true" outlineLevel="0" collapsed="false">
      <c r="A12" s="15"/>
      <c r="B12" s="35" t="s">
        <v>54</v>
      </c>
      <c r="C12" s="36" t="s">
        <v>53</v>
      </c>
      <c r="D12" s="37" t="n">
        <v>1.75</v>
      </c>
      <c r="E12" s="37" t="n">
        <v>14</v>
      </c>
      <c r="F12" s="38" t="n">
        <v>0.875</v>
      </c>
      <c r="G12" s="18" t="n">
        <f aca="false">$G$5*(($E$5*F12+(1-$E$5)*D12)*$E$4+E12*$G$4)/1000000</f>
        <v>20.7375</v>
      </c>
      <c r="H12" s="39" t="n">
        <f aca="false">G12*'Executive Summary'!$C$6</f>
        <v>1907.85</v>
      </c>
      <c r="I12" s="40" t="n">
        <f aca="false">G12*100</f>
        <v>2073.75</v>
      </c>
      <c r="J12" s="39" t="n">
        <f aca="false">I12*'Executive Summary'!$C$6</f>
        <v>190785</v>
      </c>
    </row>
    <row r="13" customFormat="false" ht="15" hidden="false" customHeight="true" outlineLevel="0" collapsed="false">
      <c r="A13" s="10"/>
      <c r="B13" s="11" t="s">
        <v>55</v>
      </c>
      <c r="C13" s="12" t="s">
        <v>53</v>
      </c>
      <c r="D13" s="41" t="n">
        <v>0.15</v>
      </c>
      <c r="E13" s="41" t="n">
        <v>0.6</v>
      </c>
      <c r="F13" s="42" t="n">
        <v>0.075</v>
      </c>
      <c r="G13" s="22" t="n">
        <f aca="false">$G$5*(($E$5*F13+(1-$E$5)*D13)*$E$4+E13*$G$4)/1000000</f>
        <v>1.0575</v>
      </c>
      <c r="H13" s="43" t="n">
        <f aca="false">G13*'Executive Summary'!$C$6</f>
        <v>97.29</v>
      </c>
      <c r="I13" s="44" t="n">
        <f aca="false">G13*100</f>
        <v>105.75</v>
      </c>
      <c r="J13" s="43" t="n">
        <f aca="false">I13*'Executive Summary'!$C$6</f>
        <v>9729</v>
      </c>
    </row>
    <row r="14" customFormat="false" ht="15" hidden="false" customHeight="true" outlineLevel="0" collapsed="false">
      <c r="A14" s="15"/>
      <c r="B14" s="35" t="s">
        <v>56</v>
      </c>
      <c r="C14" s="36" t="s">
        <v>57</v>
      </c>
      <c r="D14" s="37" t="n">
        <v>0.6</v>
      </c>
      <c r="E14" s="37" t="n">
        <v>3</v>
      </c>
      <c r="F14" s="38" t="n">
        <v>0.1</v>
      </c>
      <c r="G14" s="18" t="n">
        <f aca="false">$G$5*(($E$5*F14+(1-$E$5)*D14)*$E$4+E14*$G$4)/1000000</f>
        <v>4.65</v>
      </c>
      <c r="H14" s="39" t="n">
        <f aca="false">G14*'Executive Summary'!$C$6</f>
        <v>427.8</v>
      </c>
      <c r="I14" s="40" t="n">
        <f aca="false">G14*100</f>
        <v>465</v>
      </c>
      <c r="J14" s="39" t="n">
        <f aca="false">I14*'Executive Summary'!$C$6</f>
        <v>42780</v>
      </c>
    </row>
    <row r="15" customFormat="false" ht="15" hidden="false" customHeight="true" outlineLevel="0" collapsed="false">
      <c r="A15" s="10"/>
      <c r="B15" s="11" t="s">
        <v>58</v>
      </c>
      <c r="C15" s="12" t="s">
        <v>59</v>
      </c>
      <c r="D15" s="41" t="n">
        <v>0.28</v>
      </c>
      <c r="E15" s="41" t="n">
        <v>0.42</v>
      </c>
      <c r="F15" s="42" t="n">
        <v>0.028</v>
      </c>
      <c r="G15" s="22" t="n">
        <f aca="false">$G$5*(($E$5*F15+(1-$E$5)*D15)*$E$4+E15*$G$4)/1000000</f>
        <v>0.966</v>
      </c>
      <c r="H15" s="43" t="n">
        <f aca="false">G15*'Executive Summary'!$C$6</f>
        <v>88.872</v>
      </c>
      <c r="I15" s="44" t="n">
        <f aca="false">G15*100</f>
        <v>96.6</v>
      </c>
      <c r="J15" s="43" t="n">
        <f aca="false">I15*'Executive Summary'!$C$6</f>
        <v>8887.2</v>
      </c>
    </row>
    <row r="16" customFormat="false" ht="15" hidden="false" customHeight="true" outlineLevel="0" collapsed="false">
      <c r="A16" s="15"/>
      <c r="B16" s="45" t="s">
        <v>60</v>
      </c>
      <c r="C16" s="19" t="s">
        <v>61</v>
      </c>
      <c r="D16" s="37" t="n">
        <v>0.12</v>
      </c>
      <c r="E16" s="37" t="n">
        <v>0.39</v>
      </c>
      <c r="F16" s="38" t="n">
        <v>0.06</v>
      </c>
      <c r="G16" s="18" t="n">
        <f aca="false">$G$5*(($E$5*F16+(1-$E$5)*D16)*$E$4+E16*$G$4)/1000000</f>
        <v>0.738</v>
      </c>
      <c r="H16" s="39" t="n">
        <f aca="false">G16*'Executive Summary'!$C$6</f>
        <v>67.896</v>
      </c>
      <c r="I16" s="40" t="n">
        <f aca="false">G16*100</f>
        <v>73.8</v>
      </c>
      <c r="J16" s="39" t="n">
        <f aca="false">I16*'Executive Summary'!$C$6</f>
        <v>6789.6</v>
      </c>
    </row>
    <row r="17" customFormat="false" ht="15" hidden="false" customHeight="true" outlineLevel="0" collapsed="false">
      <c r="A17" s="10"/>
      <c r="B17" s="11" t="s">
        <v>62</v>
      </c>
      <c r="C17" s="12" t="s">
        <v>63</v>
      </c>
      <c r="D17" s="41" t="n">
        <v>1</v>
      </c>
      <c r="E17" s="41" t="n">
        <v>3.2</v>
      </c>
      <c r="F17" s="42" t="n">
        <v>0.5</v>
      </c>
      <c r="G17" s="22" t="n">
        <f aca="false">$G$5*(($E$5*F17+(1-$E$5)*D17)*$E$4+E17*$G$4)/1000000</f>
        <v>6.09</v>
      </c>
      <c r="H17" s="43" t="n">
        <f aca="false">G17*'Executive Summary'!$C$6</f>
        <v>560.28</v>
      </c>
      <c r="I17" s="44" t="n">
        <f aca="false">G17*100</f>
        <v>609</v>
      </c>
      <c r="J17" s="43" t="n">
        <f aca="false">I17*'Executive Summary'!$C$6</f>
        <v>56028</v>
      </c>
    </row>
    <row r="18" customFormat="false" ht="15" hidden="false" customHeight="true" outlineLevel="0" collapsed="false">
      <c r="A18" s="15"/>
      <c r="B18" s="45" t="s">
        <v>64</v>
      </c>
      <c r="C18" s="19" t="s">
        <v>65</v>
      </c>
      <c r="D18" s="37" t="n">
        <v>0.3</v>
      </c>
      <c r="E18" s="37" t="n">
        <v>1.2</v>
      </c>
      <c r="F18" s="38" t="n">
        <v>0.15</v>
      </c>
      <c r="G18" s="18" t="n">
        <f aca="false">$G$5*(($E$5*F18+(1-$E$5)*D18)*$E$4+E18*$G$4)/1000000</f>
        <v>2.115</v>
      </c>
      <c r="H18" s="39" t="n">
        <f aca="false">G18*'Executive Summary'!$C$6</f>
        <v>194.58</v>
      </c>
      <c r="I18" s="40" t="n">
        <f aca="false">G18*100</f>
        <v>211.5</v>
      </c>
      <c r="J18" s="39" t="n">
        <f aca="false">I18*'Executive Summary'!$C$6</f>
        <v>19458</v>
      </c>
    </row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.75" hidden="false" customHeight="true" outlineLevel="0" collapsed="false">
      <c r="B21" s="4" t="s">
        <v>66</v>
      </c>
    </row>
    <row r="22" customFormat="false" ht="15" hidden="false" customHeight="true" outlineLevel="0" collapsed="false">
      <c r="A22" s="14"/>
      <c r="B22" s="14" t="s">
        <v>39</v>
      </c>
      <c r="C22" s="14"/>
      <c r="D22" s="14"/>
      <c r="E22" s="14"/>
      <c r="F22" s="14"/>
      <c r="G22" s="14" t="s">
        <v>44</v>
      </c>
      <c r="H22" s="14" t="s">
        <v>45</v>
      </c>
      <c r="I22" s="14" t="s">
        <v>46</v>
      </c>
      <c r="J22" s="14" t="s">
        <v>47</v>
      </c>
    </row>
    <row r="23" customFormat="false" ht="15" hidden="false" customHeight="true" outlineLevel="0" collapsed="false">
      <c r="A23" s="23"/>
      <c r="B23" s="24" t="s">
        <v>48</v>
      </c>
      <c r="C23" s="27"/>
      <c r="D23" s="27"/>
      <c r="E23" s="27"/>
      <c r="F23" s="27"/>
      <c r="G23" s="29" t="n">
        <f aca="false">G8</f>
        <v>38.25</v>
      </c>
      <c r="H23" s="28" t="n">
        <f aca="false">H8</f>
        <v>3519</v>
      </c>
      <c r="I23" s="46" t="n">
        <f aca="false">I8</f>
        <v>3825</v>
      </c>
      <c r="J23" s="28" t="n">
        <f aca="false">J8</f>
        <v>351900</v>
      </c>
    </row>
    <row r="24" customFormat="false" ht="15" hidden="false" customHeight="true" outlineLevel="0" collapsed="false">
      <c r="A24" s="10"/>
      <c r="B24" s="11" t="s">
        <v>50</v>
      </c>
      <c r="C24" s="13"/>
      <c r="D24" s="13"/>
      <c r="E24" s="13"/>
      <c r="F24" s="13"/>
      <c r="G24" s="47" t="n">
        <f aca="false">G9</f>
        <v>22.95</v>
      </c>
      <c r="H24" s="43" t="n">
        <f aca="false">H9</f>
        <v>2111.4</v>
      </c>
      <c r="I24" s="48" t="n">
        <f aca="false">I9</f>
        <v>2295</v>
      </c>
      <c r="J24" s="43" t="n">
        <f aca="false">J9</f>
        <v>211140</v>
      </c>
    </row>
    <row r="25" customFormat="false" ht="15" hidden="false" customHeight="true" outlineLevel="0" collapsed="false">
      <c r="A25" s="23"/>
      <c r="B25" s="24" t="s">
        <v>52</v>
      </c>
      <c r="C25" s="27"/>
      <c r="D25" s="27"/>
      <c r="E25" s="27"/>
      <c r="F25" s="27"/>
      <c r="G25" s="29" t="n">
        <f aca="false">G11</f>
        <v>22.6875</v>
      </c>
      <c r="H25" s="28" t="n">
        <f aca="false">H11</f>
        <v>2087.25</v>
      </c>
      <c r="I25" s="46" t="n">
        <f aca="false">I11</f>
        <v>2268.75</v>
      </c>
      <c r="J25" s="28" t="n">
        <f aca="false">J11</f>
        <v>208725</v>
      </c>
    </row>
    <row r="26" customFormat="false" ht="15" hidden="false" customHeight="true" outlineLevel="0" collapsed="false">
      <c r="A26" s="10"/>
      <c r="B26" s="11" t="s">
        <v>54</v>
      </c>
      <c r="C26" s="13"/>
      <c r="D26" s="13"/>
      <c r="E26" s="13"/>
      <c r="F26" s="13"/>
      <c r="G26" s="47" t="n">
        <f aca="false">G12</f>
        <v>20.7375</v>
      </c>
      <c r="H26" s="43" t="n">
        <f aca="false">H12</f>
        <v>1907.85</v>
      </c>
      <c r="I26" s="48" t="n">
        <f aca="false">I12</f>
        <v>2073.75</v>
      </c>
      <c r="J26" s="43" t="n">
        <f aca="false">J12</f>
        <v>190785</v>
      </c>
    </row>
    <row r="27" customFormat="false" ht="15" hidden="false" customHeight="true" outlineLevel="0" collapsed="false">
      <c r="A27" s="23"/>
      <c r="B27" s="24" t="s">
        <v>56</v>
      </c>
      <c r="C27" s="27"/>
      <c r="D27" s="27"/>
      <c r="E27" s="27"/>
      <c r="F27" s="27"/>
      <c r="G27" s="29" t="n">
        <f aca="false">G14</f>
        <v>4.65</v>
      </c>
      <c r="H27" s="28" t="n">
        <f aca="false">H14</f>
        <v>427.8</v>
      </c>
      <c r="I27" s="46" t="n">
        <f aca="false">I14</f>
        <v>465</v>
      </c>
      <c r="J27" s="28" t="n">
        <f aca="false">J14</f>
        <v>42780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4" min="3" style="1" width="18"/>
    <col collapsed="false" customWidth="true" hidden="false" outlineLevel="0" max="5" min="5" style="1" width="20"/>
    <col collapsed="false" customWidth="true" hidden="false" outlineLevel="0" max="6" min="6" style="1" width="30"/>
  </cols>
  <sheetData>
    <row r="1" customFormat="false" ht="15" hidden="false" customHeight="false" outlineLevel="0" collapsed="false"/>
    <row r="2" customFormat="false" ht="19.5" hidden="false" customHeight="true" outlineLevel="0" collapsed="false">
      <c r="B2" s="2" t="s">
        <v>67</v>
      </c>
    </row>
    <row r="3" customFormat="false" ht="15" hidden="false" customHeight="false" outlineLevel="0" collapsed="false"/>
    <row r="4" customFormat="false" ht="15.75" hidden="false" customHeight="true" outlineLevel="0" collapsed="false">
      <c r="B4" s="4" t="s">
        <v>68</v>
      </c>
    </row>
    <row r="5" customFormat="false" ht="15" hidden="false" customHeight="true" outlineLevel="0" collapsed="false">
      <c r="A5" s="14"/>
      <c r="B5" s="14" t="s">
        <v>69</v>
      </c>
      <c r="C5" s="14" t="s">
        <v>70</v>
      </c>
      <c r="D5" s="14" t="s">
        <v>71</v>
      </c>
      <c r="E5" s="14" t="s">
        <v>72</v>
      </c>
      <c r="F5" s="14" t="s">
        <v>17</v>
      </c>
    </row>
    <row r="6" customFormat="false" ht="15" hidden="false" customHeight="true" outlineLevel="0" collapsed="false">
      <c r="A6" s="23"/>
      <c r="B6" s="49" t="s">
        <v>73</v>
      </c>
      <c r="C6" s="50" t="s">
        <v>74</v>
      </c>
      <c r="D6" s="50" t="s">
        <v>74</v>
      </c>
      <c r="E6" s="50" t="s">
        <v>75</v>
      </c>
      <c r="F6" s="50" t="s">
        <v>76</v>
      </c>
    </row>
    <row r="7" customFormat="false" ht="15" hidden="false" customHeight="true" outlineLevel="0" collapsed="false">
      <c r="A7" s="23"/>
      <c r="B7" s="49" t="s">
        <v>77</v>
      </c>
      <c r="C7" s="50" t="s">
        <v>74</v>
      </c>
      <c r="D7" s="50" t="s">
        <v>74</v>
      </c>
      <c r="E7" s="50" t="s">
        <v>78</v>
      </c>
      <c r="F7" s="50" t="s">
        <v>79</v>
      </c>
    </row>
    <row r="8" customFormat="false" ht="15" hidden="false" customHeight="false" outlineLevel="0" collapsed="false"/>
    <row r="9" customFormat="false" ht="15.75" hidden="false" customHeight="true" outlineLevel="0" collapsed="false">
      <c r="B9" s="4" t="s">
        <v>80</v>
      </c>
    </row>
    <row r="10" customFormat="false" ht="15" hidden="false" customHeight="true" outlineLevel="0" collapsed="false">
      <c r="A10" s="14"/>
      <c r="B10" s="14" t="s">
        <v>69</v>
      </c>
      <c r="C10" s="14" t="s">
        <v>70</v>
      </c>
      <c r="D10" s="14" t="s">
        <v>71</v>
      </c>
      <c r="E10" s="14" t="s">
        <v>72</v>
      </c>
      <c r="F10" s="14" t="s">
        <v>17</v>
      </c>
    </row>
    <row r="11" customFormat="false" ht="15" hidden="false" customHeight="true" outlineLevel="0" collapsed="false">
      <c r="A11" s="15"/>
      <c r="B11" s="16" t="s">
        <v>81</v>
      </c>
      <c r="C11" s="19" t="s">
        <v>74</v>
      </c>
      <c r="D11" s="19" t="s">
        <v>74</v>
      </c>
      <c r="E11" s="19" t="s">
        <v>82</v>
      </c>
      <c r="F11" s="19" t="s">
        <v>83</v>
      </c>
    </row>
    <row r="12" customFormat="false" ht="15" hidden="false" customHeight="true" outlineLevel="0" collapsed="false">
      <c r="A12" s="51"/>
      <c r="B12" s="52" t="s">
        <v>84</v>
      </c>
      <c r="C12" s="53" t="s">
        <v>85</v>
      </c>
      <c r="D12" s="53" t="s">
        <v>86</v>
      </c>
      <c r="E12" s="53" t="s">
        <v>82</v>
      </c>
      <c r="F12" s="53" t="s">
        <v>87</v>
      </c>
    </row>
    <row r="13" customFormat="false" ht="15" hidden="false" customHeight="false" outlineLevel="0" collapsed="false"/>
    <row r="14" customFormat="false" ht="15.75" hidden="false" customHeight="true" outlineLevel="0" collapsed="false">
      <c r="B14" s="4" t="s">
        <v>88</v>
      </c>
    </row>
    <row r="15" customFormat="false" ht="15" hidden="false" customHeight="true" outlineLevel="0" collapsed="false">
      <c r="A15" s="14"/>
      <c r="B15" s="14" t="s">
        <v>89</v>
      </c>
      <c r="C15" s="14" t="s">
        <v>90</v>
      </c>
      <c r="D15" s="14" t="s">
        <v>91</v>
      </c>
      <c r="E15" s="14" t="s">
        <v>92</v>
      </c>
      <c r="F15" s="14" t="s">
        <v>17</v>
      </c>
    </row>
    <row r="16" customFormat="false" ht="15" hidden="false" customHeight="true" outlineLevel="0" collapsed="false">
      <c r="A16" s="5"/>
      <c r="B16" s="54" t="s">
        <v>93</v>
      </c>
      <c r="C16" s="8" t="s">
        <v>74</v>
      </c>
      <c r="D16" s="8" t="s">
        <v>94</v>
      </c>
      <c r="E16" s="8" t="s">
        <v>95</v>
      </c>
      <c r="F16" s="8" t="s">
        <v>96</v>
      </c>
    </row>
    <row r="17" customFormat="false" ht="15" hidden="false" customHeight="true" outlineLevel="0" collapsed="false">
      <c r="A17" s="10"/>
      <c r="B17" s="20" t="s">
        <v>97</v>
      </c>
      <c r="C17" s="12" t="s">
        <v>74</v>
      </c>
      <c r="D17" s="12" t="s">
        <v>98</v>
      </c>
      <c r="E17" s="12" t="s">
        <v>99</v>
      </c>
      <c r="F17" s="12" t="s">
        <v>100</v>
      </c>
    </row>
    <row r="18" customFormat="false" ht="15" hidden="false" customHeight="true" outlineLevel="0" collapsed="false">
      <c r="A18" s="5"/>
      <c r="B18" s="54" t="s">
        <v>101</v>
      </c>
      <c r="C18" s="8" t="s">
        <v>74</v>
      </c>
      <c r="D18" s="8" t="s">
        <v>102</v>
      </c>
      <c r="E18" s="8" t="s">
        <v>99</v>
      </c>
      <c r="F18" s="8" t="s">
        <v>103</v>
      </c>
    </row>
    <row r="19" customFormat="false" ht="15" hidden="false" customHeight="true" outlineLevel="0" collapsed="false">
      <c r="A19" s="10"/>
      <c r="B19" s="20" t="s">
        <v>104</v>
      </c>
      <c r="C19" s="12" t="s">
        <v>74</v>
      </c>
      <c r="D19" s="12" t="s">
        <v>105</v>
      </c>
      <c r="E19" s="12" t="s">
        <v>106</v>
      </c>
      <c r="F19" s="12" t="s">
        <v>107</v>
      </c>
    </row>
    <row r="20" customFormat="false" ht="15" hidden="false" customHeight="true" outlineLevel="0" collapsed="false">
      <c r="A20" s="5"/>
      <c r="B20" s="54" t="s">
        <v>108</v>
      </c>
      <c r="C20" s="8" t="s">
        <v>74</v>
      </c>
      <c r="D20" s="8" t="s">
        <v>109</v>
      </c>
      <c r="E20" s="8" t="s">
        <v>106</v>
      </c>
      <c r="F20" s="8" t="s">
        <v>110</v>
      </c>
    </row>
    <row r="21" customFormat="false" ht="15" hidden="false" customHeight="true" outlineLevel="0" collapsed="false">
      <c r="A21" s="10"/>
      <c r="B21" s="20" t="s">
        <v>111</v>
      </c>
      <c r="C21" s="12" t="s">
        <v>112</v>
      </c>
      <c r="D21" s="12" t="s">
        <v>113</v>
      </c>
      <c r="E21" s="12" t="s">
        <v>114</v>
      </c>
      <c r="F21" s="12" t="s">
        <v>115</v>
      </c>
    </row>
    <row r="22" customFormat="false" ht="15" hidden="false" customHeight="true" outlineLevel="0" collapsed="false">
      <c r="A22" s="5"/>
      <c r="B22" s="54" t="s">
        <v>116</v>
      </c>
      <c r="C22" s="8" t="s">
        <v>74</v>
      </c>
      <c r="D22" s="8" t="s">
        <v>117</v>
      </c>
      <c r="E22" s="8" t="s">
        <v>118</v>
      </c>
      <c r="F22" s="8" t="s">
        <v>119</v>
      </c>
    </row>
    <row r="23" customFormat="false" ht="15" hidden="false" customHeight="false" outlineLevel="0" collapsed="false"/>
    <row r="24" customFormat="false" ht="15.75" hidden="false" customHeight="true" outlineLevel="0" collapsed="false">
      <c r="B24" s="4" t="s">
        <v>120</v>
      </c>
    </row>
    <row r="25" customFormat="false" ht="15" hidden="false" customHeight="true" outlineLevel="0" collapsed="false">
      <c r="A25" s="14"/>
      <c r="B25" s="14" t="s">
        <v>121</v>
      </c>
      <c r="C25" s="14" t="s">
        <v>70</v>
      </c>
      <c r="D25" s="14" t="s">
        <v>122</v>
      </c>
      <c r="E25" s="14" t="s">
        <v>123</v>
      </c>
      <c r="F25" s="14" t="s">
        <v>124</v>
      </c>
    </row>
    <row r="26" customFormat="false" ht="26.25" hidden="false" customHeight="true" outlineLevel="0" collapsed="false">
      <c r="A26" s="23"/>
      <c r="B26" s="24" t="s">
        <v>125</v>
      </c>
      <c r="C26" s="50" t="s">
        <v>126</v>
      </c>
      <c r="D26" s="50" t="s">
        <v>127</v>
      </c>
      <c r="E26" s="50" t="s">
        <v>128</v>
      </c>
      <c r="F26" s="55" t="s">
        <v>129</v>
      </c>
    </row>
    <row r="27" customFormat="false" ht="15" hidden="false" customHeight="true" outlineLevel="0" collapsed="false">
      <c r="A27" s="10"/>
      <c r="B27" s="20" t="s">
        <v>130</v>
      </c>
      <c r="C27" s="12" t="s">
        <v>131</v>
      </c>
      <c r="D27" s="12" t="s">
        <v>132</v>
      </c>
      <c r="E27" s="12" t="s">
        <v>133</v>
      </c>
      <c r="F27" s="12" t="s">
        <v>134</v>
      </c>
    </row>
    <row r="28" customFormat="false" ht="15" hidden="false" customHeight="true" outlineLevel="0" collapsed="false">
      <c r="A28" s="5"/>
      <c r="B28" s="54" t="s">
        <v>135</v>
      </c>
      <c r="C28" s="8" t="s">
        <v>136</v>
      </c>
      <c r="D28" s="8" t="s">
        <v>137</v>
      </c>
      <c r="E28" s="8" t="s">
        <v>133</v>
      </c>
      <c r="F28" s="8" t="s">
        <v>138</v>
      </c>
    </row>
    <row r="29" customFormat="false" ht="15" hidden="false" customHeight="true" outlineLevel="0" collapsed="false">
      <c r="A29" s="10"/>
      <c r="B29" s="20" t="s">
        <v>139</v>
      </c>
      <c r="C29" s="12" t="s">
        <v>140</v>
      </c>
      <c r="D29" s="12" t="s">
        <v>141</v>
      </c>
      <c r="E29" s="12" t="s">
        <v>142</v>
      </c>
      <c r="F29" s="12" t="s">
        <v>143</v>
      </c>
    </row>
    <row r="30" customFormat="false" ht="15" hidden="false" customHeight="true" outlineLevel="0" collapsed="false">
      <c r="A30" s="5"/>
      <c r="B30" s="54" t="s">
        <v>144</v>
      </c>
      <c r="C30" s="8" t="s">
        <v>145</v>
      </c>
      <c r="D30" s="8" t="s">
        <v>141</v>
      </c>
      <c r="E30" s="8" t="s">
        <v>146</v>
      </c>
      <c r="F30" s="8" t="s">
        <v>147</v>
      </c>
    </row>
    <row r="31" customFormat="false" ht="15" hidden="false" customHeight="true" outlineLevel="0" collapsed="false">
      <c r="A31" s="10"/>
      <c r="B31" s="20" t="s">
        <v>148</v>
      </c>
      <c r="C31" s="12" t="s">
        <v>145</v>
      </c>
      <c r="D31" s="12" t="s">
        <v>141</v>
      </c>
      <c r="E31" s="12" t="s">
        <v>149</v>
      </c>
      <c r="F31" s="12" t="s">
        <v>150</v>
      </c>
    </row>
    <row r="32" customFormat="false" ht="15" hidden="false" customHeight="false" outlineLevel="0" collapsed="false"/>
    <row r="33" customFormat="false" ht="15.75" hidden="false" customHeight="true" outlineLevel="0" collapsed="false">
      <c r="B33" s="56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35"/>
  </cols>
  <sheetData>
    <row r="1" customFormat="false" ht="15" hidden="false" customHeight="false" outlineLevel="0" collapsed="false"/>
    <row r="2" customFormat="false" ht="19.5" hidden="false" customHeight="true" outlineLevel="0" collapsed="false">
      <c r="B2" s="2" t="s">
        <v>152</v>
      </c>
    </row>
    <row r="3" customFormat="false" ht="15" hidden="false" customHeight="false" outlineLevel="0" collapsed="false"/>
    <row r="4" customFormat="false" ht="15.75" hidden="false" customHeight="true" outlineLevel="0" collapsed="false">
      <c r="B4" s="4" t="s">
        <v>153</v>
      </c>
    </row>
    <row r="5" customFormat="false" ht="15" hidden="false" customHeight="true" outlineLevel="0" collapsed="false">
      <c r="A5" s="14"/>
      <c r="B5" s="14" t="s">
        <v>154</v>
      </c>
      <c r="C5" s="14" t="s">
        <v>155</v>
      </c>
      <c r="D5" s="14" t="s">
        <v>156</v>
      </c>
      <c r="E5" s="14" t="s">
        <v>157</v>
      </c>
      <c r="F5" s="14" t="s">
        <v>17</v>
      </c>
    </row>
    <row r="6" customFormat="false" ht="15" hidden="false" customHeight="true" outlineLevel="0" collapsed="false">
      <c r="A6" s="5"/>
      <c r="B6" s="54" t="s">
        <v>158</v>
      </c>
      <c r="C6" s="57" t="n">
        <v>0</v>
      </c>
      <c r="D6" s="7" t="n">
        <v>3</v>
      </c>
      <c r="E6" s="58" t="n">
        <f aca="false">C6*D6</f>
        <v>0</v>
      </c>
      <c r="F6" s="8" t="s">
        <v>159</v>
      </c>
    </row>
    <row r="7" customFormat="false" ht="15" hidden="false" customHeight="true" outlineLevel="0" collapsed="false">
      <c r="A7" s="10"/>
      <c r="B7" s="20" t="s">
        <v>160</v>
      </c>
      <c r="C7" s="59" t="n">
        <v>0</v>
      </c>
      <c r="D7" s="60" t="n">
        <v>3</v>
      </c>
      <c r="E7" s="21" t="n">
        <f aca="false">C7*D7</f>
        <v>0</v>
      </c>
      <c r="F7" s="12" t="s">
        <v>161</v>
      </c>
    </row>
    <row r="8" customFormat="false" ht="15" hidden="false" customHeight="true" outlineLevel="0" collapsed="false">
      <c r="A8" s="5"/>
      <c r="B8" s="54" t="s">
        <v>162</v>
      </c>
      <c r="C8" s="57" t="n">
        <v>1840</v>
      </c>
      <c r="D8" s="7" t="n">
        <v>3</v>
      </c>
      <c r="E8" s="58" t="n">
        <f aca="false">C8*D8</f>
        <v>5520</v>
      </c>
      <c r="F8" s="8" t="s">
        <v>163</v>
      </c>
    </row>
    <row r="9" customFormat="false" ht="15" hidden="false" customHeight="true" outlineLevel="0" collapsed="false">
      <c r="A9" s="10"/>
      <c r="B9" s="20" t="s">
        <v>164</v>
      </c>
      <c r="C9" s="59" t="n">
        <v>1840</v>
      </c>
      <c r="D9" s="60" t="n">
        <v>3</v>
      </c>
      <c r="E9" s="21" t="n">
        <f aca="false">C9*D9</f>
        <v>5520</v>
      </c>
      <c r="F9" s="12" t="s">
        <v>165</v>
      </c>
    </row>
    <row r="10" customFormat="false" ht="15" hidden="false" customHeight="true" outlineLevel="0" collapsed="false">
      <c r="A10" s="5"/>
      <c r="B10" s="54" t="s">
        <v>166</v>
      </c>
      <c r="C10" s="57" t="n">
        <v>15000</v>
      </c>
      <c r="D10" s="7" t="n">
        <v>1</v>
      </c>
      <c r="E10" s="58" t="n">
        <f aca="false">C10*D10</f>
        <v>15000</v>
      </c>
      <c r="F10" s="8" t="s">
        <v>167</v>
      </c>
    </row>
    <row r="11" customFormat="false" ht="15" hidden="false" customHeight="true" outlineLevel="0" collapsed="false">
      <c r="A11" s="10"/>
      <c r="B11" s="20" t="s">
        <v>168</v>
      </c>
      <c r="C11" s="59" t="n">
        <v>0</v>
      </c>
      <c r="D11" s="60" t="n">
        <v>1</v>
      </c>
      <c r="E11" s="21" t="n">
        <f aca="false">C11*D11</f>
        <v>0</v>
      </c>
      <c r="F11" s="12" t="s">
        <v>169</v>
      </c>
    </row>
    <row r="12" customFormat="false" ht="15" hidden="false" customHeight="true" outlineLevel="0" collapsed="false">
      <c r="A12" s="23"/>
      <c r="B12" s="24" t="s">
        <v>170</v>
      </c>
      <c r="C12" s="27"/>
      <c r="D12" s="27"/>
      <c r="E12" s="25" t="n">
        <f aca="false">SUM(E6:E11)</f>
        <v>26040</v>
      </c>
      <c r="F12" s="27"/>
    </row>
    <row r="13" customFormat="false" ht="15" hidden="false" customHeight="false" outlineLevel="0" collapsed="false"/>
    <row r="14" customFormat="false" ht="15.75" hidden="false" customHeight="true" outlineLevel="0" collapsed="false">
      <c r="B14" s="4" t="s">
        <v>171</v>
      </c>
    </row>
    <row r="15" customFormat="false" ht="15" hidden="false" customHeight="true" outlineLevel="0" collapsed="false">
      <c r="A15" s="14"/>
      <c r="B15" s="14" t="s">
        <v>69</v>
      </c>
      <c r="C15" s="14"/>
      <c r="D15" s="14"/>
      <c r="E15" s="14" t="s">
        <v>15</v>
      </c>
      <c r="F15" s="14" t="s">
        <v>17</v>
      </c>
    </row>
    <row r="16" customFormat="false" ht="15" hidden="false" customHeight="true" outlineLevel="0" collapsed="false">
      <c r="A16" s="5"/>
      <c r="B16" s="54" t="s">
        <v>172</v>
      </c>
      <c r="C16" s="9"/>
      <c r="D16" s="9"/>
      <c r="E16" s="57" t="n">
        <v>2300</v>
      </c>
      <c r="F16" s="8" t="s">
        <v>173</v>
      </c>
    </row>
    <row r="17" customFormat="false" ht="15" hidden="false" customHeight="true" outlineLevel="0" collapsed="false">
      <c r="A17" s="10"/>
      <c r="B17" s="20" t="s">
        <v>174</v>
      </c>
      <c r="C17" s="13"/>
      <c r="D17" s="13"/>
      <c r="E17" s="59" t="n">
        <v>920</v>
      </c>
      <c r="F17" s="12" t="s">
        <v>175</v>
      </c>
    </row>
    <row r="18" customFormat="false" ht="15" hidden="false" customHeight="true" outlineLevel="0" collapsed="false">
      <c r="A18" s="5"/>
      <c r="B18" s="54" t="s">
        <v>176</v>
      </c>
      <c r="C18" s="9"/>
      <c r="D18" s="9"/>
      <c r="E18" s="57" t="n">
        <v>1380</v>
      </c>
      <c r="F18" s="8" t="s">
        <v>177</v>
      </c>
    </row>
    <row r="19" customFormat="false" ht="15" hidden="false" customHeight="true" outlineLevel="0" collapsed="false">
      <c r="A19" s="10"/>
      <c r="B19" s="20" t="s">
        <v>178</v>
      </c>
      <c r="C19" s="13"/>
      <c r="D19" s="13"/>
      <c r="E19" s="59" t="n">
        <v>2000</v>
      </c>
      <c r="F19" s="12" t="s">
        <v>179</v>
      </c>
    </row>
    <row r="20" customFormat="false" ht="15" hidden="false" customHeight="true" outlineLevel="0" collapsed="false">
      <c r="A20" s="23"/>
      <c r="B20" s="24" t="s">
        <v>180</v>
      </c>
      <c r="C20" s="27"/>
      <c r="D20" s="50"/>
      <c r="E20" s="25" t="n">
        <f aca="false">SUM(E16:E19)</f>
        <v>6600</v>
      </c>
      <c r="F20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8" min="3" style="1" width="16"/>
    <col collapsed="false" customWidth="true" hidden="false" outlineLevel="0" max="9" min="9" style="1" width="20"/>
  </cols>
  <sheetData>
    <row r="1" customFormat="false" ht="15" hidden="false" customHeight="false" outlineLevel="0" collapsed="false"/>
    <row r="2" customFormat="false" ht="19.5" hidden="false" customHeight="true" outlineLevel="0" collapsed="false">
      <c r="B2" s="2" t="s">
        <v>181</v>
      </c>
    </row>
    <row r="3" customFormat="false" ht="15" hidden="false" customHeight="false" outlineLevel="0" collapsed="false"/>
    <row r="4" customFormat="false" ht="15" hidden="false" customHeight="true" outlineLevel="0" collapsed="false">
      <c r="A4" s="14"/>
      <c r="B4" s="14" t="s">
        <v>69</v>
      </c>
      <c r="C4" s="14" t="s">
        <v>182</v>
      </c>
      <c r="D4" s="14" t="s">
        <v>183</v>
      </c>
      <c r="E4" s="14" t="s">
        <v>184</v>
      </c>
      <c r="F4" s="14" t="s">
        <v>185</v>
      </c>
      <c r="G4" s="14" t="s">
        <v>186</v>
      </c>
      <c r="H4" s="14" t="s">
        <v>187</v>
      </c>
      <c r="I4" s="14" t="s">
        <v>188</v>
      </c>
    </row>
    <row r="5" customFormat="false" ht="15" hidden="false" customHeight="true" outlineLevel="0" collapsed="false">
      <c r="A5" s="5"/>
      <c r="B5" s="54" t="s">
        <v>189</v>
      </c>
      <c r="C5" s="58" t="n">
        <f aca="false">'Team &amp; Dev'!E12/3</f>
        <v>8680</v>
      </c>
      <c r="D5" s="58" t="n">
        <f aca="false">'Team &amp; Dev'!E12/3</f>
        <v>8680</v>
      </c>
      <c r="E5" s="58" t="n">
        <f aca="false">'Team &amp; Dev'!E12/3</f>
        <v>8680</v>
      </c>
      <c r="F5" s="58" t="n">
        <f aca="false">1840</f>
        <v>1840</v>
      </c>
      <c r="G5" s="58" t="n">
        <f aca="false">1840</f>
        <v>1840</v>
      </c>
      <c r="H5" s="58" t="n">
        <f aca="false">1840</f>
        <v>1840</v>
      </c>
      <c r="I5" s="9"/>
    </row>
    <row r="6" customFormat="false" ht="15" hidden="false" customHeight="true" outlineLevel="0" collapsed="false">
      <c r="A6" s="10"/>
      <c r="B6" s="20" t="s">
        <v>190</v>
      </c>
      <c r="C6" s="21" t="n">
        <f aca="false">'Team &amp; Dev'!E20</f>
        <v>6600</v>
      </c>
      <c r="D6" s="21" t="n">
        <f aca="false">0</f>
        <v>0</v>
      </c>
      <c r="E6" s="21" t="n">
        <f aca="false">0</f>
        <v>0</v>
      </c>
      <c r="F6" s="21" t="n">
        <f aca="false">0</f>
        <v>0</v>
      </c>
      <c r="G6" s="21" t="n">
        <f aca="false">0</f>
        <v>0</v>
      </c>
      <c r="H6" s="21" t="n">
        <f aca="false">0</f>
        <v>0</v>
      </c>
      <c r="I6" s="13"/>
    </row>
    <row r="7" customFormat="false" ht="15" hidden="false" customHeight="true" outlineLevel="0" collapsed="false">
      <c r="A7" s="5"/>
      <c r="B7" s="54" t="s">
        <v>191</v>
      </c>
      <c r="C7" s="58" t="n">
        <f aca="false">0</f>
        <v>0</v>
      </c>
      <c r="D7" s="58" t="n">
        <f aca="false">0</f>
        <v>0</v>
      </c>
      <c r="E7" s="58" t="n">
        <f aca="false">'Model Costs'!G14*5*'Executive Summary'!$C$6</f>
        <v>2139</v>
      </c>
      <c r="F7" s="58" t="n">
        <f aca="false">'Model Costs'!G14*20*'Executive Summary'!$C$6</f>
        <v>8556</v>
      </c>
      <c r="G7" s="58" t="n">
        <f aca="false">'Model Costs'!G14*50*'Executive Summary'!$C$6</f>
        <v>21390</v>
      </c>
      <c r="H7" s="58" t="n">
        <f aca="false">'Model Costs'!G14*100*'Executive Summary'!$C$6</f>
        <v>42780</v>
      </c>
      <c r="I7" s="9"/>
    </row>
    <row r="8" customFormat="false" ht="15" hidden="false" customHeight="true" outlineLevel="0" collapsed="false">
      <c r="A8" s="10"/>
      <c r="B8" s="20" t="s">
        <v>192</v>
      </c>
      <c r="C8" s="21" t="n">
        <f aca="false">0</f>
        <v>0</v>
      </c>
      <c r="D8" s="21" t="n">
        <f aca="false">0</f>
        <v>0</v>
      </c>
      <c r="E8" s="21" t="n">
        <f aca="false">0</f>
        <v>0</v>
      </c>
      <c r="F8" s="21" t="n">
        <f aca="false">0</f>
        <v>0</v>
      </c>
      <c r="G8" s="21" t="n">
        <f aca="false">0</f>
        <v>0</v>
      </c>
      <c r="H8" s="21" t="n">
        <f aca="false">0</f>
        <v>0</v>
      </c>
      <c r="I8" s="13"/>
    </row>
    <row r="9" customFormat="false" ht="15" hidden="false" customHeight="true" outlineLevel="0" collapsed="false">
      <c r="A9" s="5"/>
      <c r="B9" s="54" t="s">
        <v>193</v>
      </c>
      <c r="C9" s="58" t="n">
        <f aca="false">0</f>
        <v>0</v>
      </c>
      <c r="D9" s="58" t="n">
        <f aca="false">0</f>
        <v>0</v>
      </c>
      <c r="E9" s="58" t="n">
        <f aca="false">0</f>
        <v>0</v>
      </c>
      <c r="F9" s="58" t="n">
        <f aca="false">0</f>
        <v>0</v>
      </c>
      <c r="G9" s="58" t="n">
        <f aca="false">0</f>
        <v>0</v>
      </c>
      <c r="H9" s="58" t="n">
        <f aca="false">25*'Executive Summary'!$C$6</f>
        <v>2300</v>
      </c>
      <c r="I9" s="9"/>
    </row>
    <row r="10" customFormat="false" ht="15" hidden="false" customHeight="false" outlineLevel="0" collapsed="false"/>
    <row r="11" customFormat="false" ht="15" hidden="false" customHeight="true" outlineLevel="0" collapsed="false">
      <c r="A11" s="15"/>
      <c r="B11" s="45" t="s">
        <v>194</v>
      </c>
      <c r="C11" s="61" t="n">
        <f aca="false">SUM(C5:C9)</f>
        <v>15280</v>
      </c>
      <c r="D11" s="61" t="n">
        <f aca="false">SUM(D5:D9)</f>
        <v>8680</v>
      </c>
      <c r="E11" s="61" t="n">
        <f aca="false">SUM(E5:E9)</f>
        <v>10819</v>
      </c>
      <c r="F11" s="61" t="n">
        <f aca="false">SUM(F5:F9)</f>
        <v>10396</v>
      </c>
      <c r="G11" s="61" t="n">
        <f aca="false">SUM(G5:G9)</f>
        <v>23230</v>
      </c>
      <c r="H11" s="61" t="n">
        <f aca="false">SUM(H5:H9)</f>
        <v>46920</v>
      </c>
      <c r="I11" s="62"/>
    </row>
    <row r="12" customFormat="false" ht="15" hidden="false" customHeight="false" outlineLevel="0" collapsed="false"/>
    <row r="13" customFormat="false" ht="15" hidden="false" customHeight="true" outlineLevel="0" collapsed="false">
      <c r="A13" s="23"/>
      <c r="B13" s="24" t="s">
        <v>195</v>
      </c>
      <c r="C13" s="25" t="n">
        <f aca="false">C11</f>
        <v>15280</v>
      </c>
      <c r="D13" s="25" t="n">
        <f aca="false">C13+D11</f>
        <v>23960</v>
      </c>
      <c r="E13" s="25" t="n">
        <f aca="false">D13+E11</f>
        <v>34779</v>
      </c>
      <c r="F13" s="25" t="n">
        <f aca="false">E13+F11</f>
        <v>45175</v>
      </c>
      <c r="G13" s="25" t="n">
        <f aca="false">F13+G11</f>
        <v>68405</v>
      </c>
      <c r="H13" s="25" t="n">
        <f aca="false">G13+H11</f>
        <v>115325</v>
      </c>
      <c r="I13" s="28" t="n">
        <f aca="false">H13</f>
        <v>115325</v>
      </c>
    </row>
    <row r="14" customFormat="false" ht="15" hidden="false" customHeight="false" outlineLevel="0" collapsed="false"/>
    <row r="15" customFormat="false" ht="15" hidden="false" customHeight="true" outlineLevel="0" collapsed="false">
      <c r="A15" s="63"/>
      <c r="B15" s="64" t="s">
        <v>196</v>
      </c>
      <c r="C15" s="65" t="n">
        <v>0</v>
      </c>
      <c r="D15" s="65" t="n">
        <v>0</v>
      </c>
      <c r="E15" s="65" t="n">
        <v>5</v>
      </c>
      <c r="F15" s="65" t="n">
        <v>20</v>
      </c>
      <c r="G15" s="65" t="n">
        <v>50</v>
      </c>
      <c r="H15" s="65" t="n">
        <v>100</v>
      </c>
      <c r="I15" s="66"/>
    </row>
    <row r="16" customFormat="false" ht="15" hidden="false" customHeight="true" outlineLevel="0" collapsed="false">
      <c r="A16" s="63"/>
      <c r="B16" s="64" t="s">
        <v>197</v>
      </c>
      <c r="C16" s="67" t="s">
        <v>198</v>
      </c>
      <c r="D16" s="67" t="s">
        <v>198</v>
      </c>
      <c r="E16" s="67" t="s">
        <v>198</v>
      </c>
      <c r="F16" s="67" t="s">
        <v>199</v>
      </c>
      <c r="G16" s="67" t="s">
        <v>200</v>
      </c>
      <c r="H16" s="67" t="s">
        <v>201</v>
      </c>
      <c r="I16" s="66"/>
    </row>
    <row r="17" customFormat="false" ht="15" hidden="false" customHeight="false" outlineLevel="0" collapsed="false"/>
    <row r="18" customFormat="false" ht="15" hidden="false" customHeight="true" outlineLevel="0" collapsed="false">
      <c r="B18" s="68" t="s">
        <v>202</v>
      </c>
    </row>
    <row r="19" customFormat="false" ht="15" hidden="false" customHeight="true" outlineLevel="0" collapsed="false">
      <c r="B19" s="68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2026-03-06T05:19:18Z</dcterms:created>
  <dc:creator>openpyxl</dc:creator>
  <dc:description/>
  <dc:language>en-US</dc:language>
  <cp:lastModifiedBy/>
  <dcterms:modified xsi:type="dcterms:W3CDTF">2026-03-06T05:19:53Z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